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8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4464606i\Desktop\"/>
    </mc:Choice>
  </mc:AlternateContent>
  <xr:revisionPtr revIDLastSave="0" documentId="8_{6E17BD84-D82A-426B-8D55-FE6D7FB2A758}" xr6:coauthVersionLast="37" xr6:coauthVersionMax="37" xr10:uidLastSave="{00000000-0000-0000-0000-000000000000}"/>
  <bookViews>
    <workbookView xWindow="0" yWindow="0" windowWidth="28800" windowHeight="12375" xr2:uid="{DDC3D8F1-7458-421F-95F1-5ABA0FD69C23}"/>
  </bookViews>
  <sheets>
    <sheet name="Лист1" sheetId="1" r:id="rId1"/>
  </sheets>
  <calcPr calcId="17902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N13" i="1" l="1"/>
  <c r="P13" i="1" s="1"/>
  <c r="O12" i="1"/>
  <c r="P12" i="1" s="1"/>
  <c r="O11" i="1"/>
  <c r="P11" i="1" s="1"/>
  <c r="O10" i="1"/>
  <c r="P10" i="1" s="1"/>
  <c r="O9" i="1"/>
  <c r="P9" i="1" s="1"/>
  <c r="O8" i="1"/>
  <c r="P8" i="1" s="1"/>
  <c r="O7" i="1"/>
  <c r="P7" i="1" s="1"/>
  <c r="O6" i="1"/>
  <c r="P6" i="1" s="1"/>
</calcChain>
</file>

<file path=xl/sharedStrings.xml><?xml version="1.0" encoding="utf-8"?>
<sst xmlns="http://schemas.openxmlformats.org/spreadsheetml/2006/main" count="14" uniqueCount="14">
  <si>
    <t>№</t>
  </si>
  <si>
    <t>Transaction Name</t>
  </si>
  <si>
    <t>90 Percent</t>
  </si>
  <si>
    <t>По факту</t>
  </si>
  <si>
    <t>По профилю</t>
  </si>
  <si>
    <t>Отклонение</t>
  </si>
  <si>
    <t>transaction_delete_flight</t>
  </si>
  <si>
    <t>transaction_login</t>
  </si>
  <si>
    <t>transaction_logout</t>
  </si>
  <si>
    <t>transaction_select_date</t>
  </si>
  <si>
    <t>transaction_select_find_flight</t>
  </si>
  <si>
    <t>transaction_select_itinerary</t>
  </si>
  <si>
    <t>transaction_select_payment</t>
  </si>
  <si>
    <t>Сумма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</si>
</sst>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7">
    <xf numFmtId="0" fontId="0" fillId="0" borderId="0" xfId="0"/>
    <xf numFmtId="0" fontId="0" fillId="0" borderId="1" xfId="0" applyBorder="1" applyAlignment="1">
      <alignment horizontal="center"/>
    </xf>
    <xf numFmtId="0" fontId="0" fillId="0" borderId="2" xfId="0" applyBorder="1" applyAlignment="1">
      <alignment horizontal="left"/>
    </xf>
    <xf numFmtId="0" fontId="0" fillId="0" borderId="3" xfId="0" applyFill="1" applyBorder="1" applyAlignment="1">
      <alignment horizontal="center"/>
    </xf>
    <xf numFmtId="0" fontId="0" fillId="0" borderId="4" xfId="0" applyBorder="1" applyAlignment="1">
      <alignment horizontal="center"/>
    </xf>
    <xf numFmtId="1" fontId="0" fillId="0" borderId="5" xfId="0" applyNumberFormat="1" applyBorder="1" applyAlignment="1">
      <alignment horizontal="center"/>
    </xf>
    <xf numFmtId="10" fontId="1" fillId="0" borderId="6" xfId="1" applyNumberFormat="1" applyFont="1" applyBorder="1" applyAlignment="1">
      <alignment horizontal="center"/>
    </xf>
    <xf numFmtId="0" fontId="0" fillId="0" borderId="7" xfId="0" applyBorder="1" applyAlignment="1">
      <alignment horizontal="center"/>
    </xf>
    <xf numFmtId="1" fontId="0" fillId="0" borderId="8" xfId="0" applyNumberFormat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10" xfId="0" applyBorder="1" applyAlignment="1">
      <alignment horizontal="center"/>
    </xf>
    <xf numFmtId="1" fontId="0" fillId="0" borderId="11" xfId="0" applyNumberFormat="1" applyBorder="1" applyAlignment="1">
      <alignment horizontal="center"/>
    </xf>
    <xf numFmtId="0" fontId="0" fillId="2" borderId="1" xfId="0" applyFill="1" applyBorder="1"/>
    <xf numFmtId="0" fontId="0" fillId="0" borderId="1" xfId="0" applyBorder="1"/>
    <xf numFmtId="0" fontId="0" fillId="2" borderId="1" xfId="0" applyFill="1" applyBorder="1" applyAlignment="1">
      <alignment horizontal="center"/>
    </xf>
    <xf numFmtId="0" fontId="0" fillId="0" borderId="12" xfId="0" applyBorder="1" applyAlignment="1">
      <alignment horizontal="center"/>
    </xf>
  </cellXfs>
  <cellStyles count="2">
    <cellStyle name="Обычный" xfId="0" builtinId="0"/>
    <cellStyle name="Процентный" xfId="1" builtinId="5"/>
  </cellStyles>
  <dxfs count="2">
    <dxf>
      <font>
        <color theme="0"/>
      </font>
      <fill>
        <patternFill>
          <bgColor rgb="FFFF0000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FA1DA3-A2B1-4022-BF8C-C57159F3F5AA}">
  <dimension ref="K4:P13"/>
  <sheetViews>
    <sheetView tabSelected="1" workbookViewId="0">
      <selection activeCell="N30" sqref="N30"/>
    </sheetView>
  </sheetViews>
  <sheetFormatPr defaultRowHeight="15" x14ac:dyDescent="0.25"/>
  <cols>
    <col min="11" max="11" width="3.140625" bestFit="1" customWidth="1"/>
    <col min="12" max="12" width="28" bestFit="1" customWidth="1"/>
    <col min="13" max="13" width="10.28515625" bestFit="1" customWidth="1"/>
    <col min="14" max="14" width="9" bestFit="1" customWidth="1"/>
    <col min="15" max="15" width="12.42578125" bestFit="1" customWidth="1"/>
    <col min="16" max="16" width="12.28515625" bestFit="1" customWidth="1"/>
  </cols>
  <sheetData>
    <row r="4" spans="11:16" ht="15.75" thickBot="1" x14ac:dyDescent="0.3"/>
    <row r="5" spans="11:16" ht="15.75" thickBot="1" x14ac:dyDescent="0.3">
      <c r="K5" s="1" t="s">
        <v>0</v>
      </c>
      <c r="L5" s="2" t="s">
        <v>1</v>
      </c>
      <c r="M5" s="1" t="s">
        <v>2</v>
      </c>
      <c r="N5" s="1" t="s">
        <v>3</v>
      </c>
      <c r="O5" s="3" t="s">
        <v>4</v>
      </c>
      <c r="P5" s="1" t="s">
        <v>5</v>
      </c>
    </row>
    <row r="6" spans="11:16" ht="15.75" thickBot="1" x14ac:dyDescent="0.3">
      <c r="K6" s="1">
        <v>1</v>
      </c>
      <c r="L6" s="2" t="s">
        <v>6</v>
      </c>
      <c r="M6" s="4">
        <v>4.5999999999999999E-2</v>
      </c>
      <c r="N6" s="4">
        <v>72</v>
      </c>
      <c r="O6" s="5">
        <f>73</f>
        <v>73</v>
      </c>
      <c r="P6" s="6">
        <f t="shared" ref="P6:P13" si="0">N6/O6-100%</f>
        <v>-1.3698630136986356E-2</v>
      </c>
    </row>
    <row r="7" spans="11:16" ht="15.75" thickBot="1" x14ac:dyDescent="0.3">
      <c r="K7" s="1">
        <v>2</v>
      </c>
      <c r="L7" s="2" t="s">
        <v>7</v>
      </c>
      <c r="M7" s="7">
        <v>9.1999999999999998E-2</v>
      </c>
      <c r="N7" s="7">
        <v>363</v>
      </c>
      <c r="O7" s="8">
        <f>422</f>
        <v>422</v>
      </c>
      <c r="P7" s="6">
        <f t="shared" si="0"/>
        <v>-0.1398104265402843</v>
      </c>
    </row>
    <row r="8" spans="11:16" ht="15.75" thickBot="1" x14ac:dyDescent="0.3">
      <c r="K8" s="9">
        <v>3</v>
      </c>
      <c r="L8" s="2" t="s">
        <v>8</v>
      </c>
      <c r="M8" s="7">
        <v>5.3999999999999999E-2</v>
      </c>
      <c r="N8" s="7">
        <v>276</v>
      </c>
      <c r="O8" s="8">
        <f>326</f>
        <v>326</v>
      </c>
      <c r="P8" s="6">
        <f t="shared" si="0"/>
        <v>-0.15337423312883436</v>
      </c>
    </row>
    <row r="9" spans="11:16" ht="15.75" thickBot="1" x14ac:dyDescent="0.3">
      <c r="K9" s="1">
        <v>4</v>
      </c>
      <c r="L9" s="2" t="s">
        <v>9</v>
      </c>
      <c r="M9" s="7">
        <v>3.4000000000000002E-2</v>
      </c>
      <c r="N9" s="7">
        <v>261</v>
      </c>
      <c r="O9" s="8">
        <f>251</f>
        <v>251</v>
      </c>
      <c r="P9" s="6">
        <f t="shared" si="0"/>
        <v>3.9840637450199168E-2</v>
      </c>
    </row>
    <row r="10" spans="11:16" ht="15.75" thickBot="1" x14ac:dyDescent="0.3">
      <c r="K10" s="1">
        <v>5</v>
      </c>
      <c r="L10" s="2" t="s">
        <v>10</v>
      </c>
      <c r="M10" s="7">
        <v>3.4000000000000002E-2</v>
      </c>
      <c r="N10" s="7">
        <v>258</v>
      </c>
      <c r="O10" s="8">
        <f>282</f>
        <v>282</v>
      </c>
      <c r="P10" s="6">
        <f t="shared" si="0"/>
        <v>-8.5106382978723416E-2</v>
      </c>
    </row>
    <row r="11" spans="11:16" ht="15.75" thickBot="1" x14ac:dyDescent="0.3">
      <c r="K11" s="1">
        <v>6</v>
      </c>
      <c r="L11" s="2" t="s">
        <v>11</v>
      </c>
      <c r="M11" s="7">
        <v>0.108</v>
      </c>
      <c r="N11" s="7">
        <v>138</v>
      </c>
      <c r="O11" s="8">
        <f>159</f>
        <v>159</v>
      </c>
      <c r="P11" s="6">
        <f t="shared" si="0"/>
        <v>-0.13207547169811318</v>
      </c>
    </row>
    <row r="12" spans="11:16" ht="15.75" thickBot="1" x14ac:dyDescent="0.3">
      <c r="K12" s="1">
        <v>7</v>
      </c>
      <c r="L12" s="2" t="s">
        <v>12</v>
      </c>
      <c r="M12" s="10">
        <v>3.5000000000000003E-2</v>
      </c>
      <c r="N12" s="11">
        <v>177</v>
      </c>
      <c r="O12" s="12">
        <f>175</f>
        <v>175</v>
      </c>
      <c r="P12" s="6">
        <f t="shared" si="0"/>
        <v>1.1428571428571344E-2</v>
      </c>
    </row>
    <row r="13" spans="11:16" ht="15.75" thickBot="1" x14ac:dyDescent="0.3">
      <c r="K13" s="13"/>
      <c r="L13" s="14" t="s">
        <v>13</v>
      </c>
      <c r="M13" s="15"/>
      <c r="N13" s="1">
        <f>SUM(N6:N12)</f>
        <v>1545</v>
      </c>
      <c r="O13" s="16">
        <v>1688</v>
      </c>
      <c r="P13" s="6">
        <f t="shared" si="0"/>
        <v>-8.4715639810426513E-2</v>
      </c>
    </row>
  </sheetData>
  <conditionalFormatting sqref="P6:P13">
    <cfRule type="cellIs" dxfId="1" priority="2" operator="between">
      <formula>-0.05</formula>
      <formula>0.05</formula>
    </cfRule>
  </conditionalFormatting>
  <conditionalFormatting sqref="P6:P13">
    <cfRule type="cellIs" dxfId="0" priority="1" operator="notBetween">
      <formula>-0.05</formula>
      <formula>0.05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4464606i</dc:creator>
  <cp:lastModifiedBy>4464606i</cp:lastModifiedBy>
  <dcterms:created xsi:type="dcterms:W3CDTF">2020-05-16T16:08:49Z</dcterms:created>
  <dcterms:modified xsi:type="dcterms:W3CDTF">2020-05-16T16:09:59Z</dcterms:modified>
</cp:coreProperties>
</file>