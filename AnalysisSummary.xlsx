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64606i\Desktop\"/>
    </mc:Choice>
  </mc:AlternateContent>
  <xr:revisionPtr revIDLastSave="0" documentId="13_ncr:1_{F61B717B-CA6D-4ACC-9234-1AFC821E960D}" xr6:coauthVersionLast="37" xr6:coauthVersionMax="37" xr10:uidLastSave="{00000000-0000-0000-0000-000000000000}"/>
  <bookViews>
    <workbookView xWindow="0" yWindow="0" windowWidth="28800" windowHeight="12375" xr2:uid="{DDC3D8F1-7458-421F-95F1-5ABA0FD69C23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O9" i="1"/>
  <c r="O10" i="1"/>
  <c r="O8" i="1"/>
  <c r="O13" i="1" s="1"/>
  <c r="O7" i="1"/>
  <c r="O6" i="1"/>
  <c r="N13" i="1" l="1"/>
  <c r="P13" i="1" s="1"/>
  <c r="O12" i="1"/>
  <c r="P12" i="1" s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<sst xmlns="http://schemas.openxmlformats.org/spreadsheetml/2006/main" count="14" uniqueCount="14">
  <si>
    <t>№</t>
  </si>
  <si>
    <t>Transaction Name</t>
  </si>
  <si>
    <t>90 Percent</t>
  </si>
  <si>
    <t>По факту</t>
  </si>
  <si>
    <t>По профилю</t>
  </si>
  <si>
    <t>Отклонение</t>
  </si>
  <si>
    <t>transaction_delete_flight</t>
  </si>
  <si>
    <t>transaction_login</t>
  </si>
  <si>
    <t>transaction_logout</t>
  </si>
  <si>
    <t>transaction_select_date</t>
  </si>
  <si>
    <t>transaction_select_find_flight</t>
  </si>
  <si>
    <t>transaction_select_itinerary</t>
  </si>
  <si>
    <t>transaction_select_payment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</si>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</sst>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3" applyNumberFormat="0" applyFill="0" applyAlignment="0" applyProtection="0"/>
    <xf numFmtId="0" fontId="4" fillId="0" borderId="14" applyNumberFormat="0" applyFill="0" applyAlignment="0" applyProtection="0"/>
    <xf numFmtId="0" fontId="5" fillId="0" borderId="15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6" applyNumberFormat="0" applyAlignment="0" applyProtection="0"/>
    <xf numFmtId="0" fontId="10" fillId="7" borderId="17" applyNumberFormat="0" applyAlignment="0" applyProtection="0"/>
    <xf numFmtId="0" fontId="11" fillId="7" borderId="16" applyNumberFormat="0" applyAlignment="0" applyProtection="0"/>
    <xf numFmtId="0" fontId="12" fillId="0" borderId="18" applyNumberFormat="0" applyFill="0" applyAlignment="0" applyProtection="0"/>
    <xf numFmtId="0" fontId="13" fillId="8" borderId="19" applyNumberFormat="0" applyAlignment="0" applyProtection="0"/>
    <xf numFmtId="0" fontId="14" fillId="0" borderId="0" applyNumberFormat="0" applyFill="0" applyBorder="0" applyAlignment="0" applyProtection="0"/>
    <xf numFmtId="0" fontId="1" fillId="9" borderId="2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0" fontId="1" fillId="0" borderId="6" xfId="1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22" xfId="0" applyBorder="1" applyAlignment="1">
      <alignment horizontal="center"/>
    </xf>
    <xf numFmtId="0" fontId="0" fillId="0" borderId="7" xfId="0" applyBorder="1"/>
    <xf numFmtId="0" fontId="0" fillId="2" borderId="2" xfId="0" applyFill="1" applyBorder="1" applyAlignment="1">
      <alignment horizontal="center"/>
    </xf>
    <xf numFmtId="0" fontId="0" fillId="0" borderId="4" xfId="0" applyBorder="1"/>
    <xf numFmtId="0" fontId="0" fillId="0" borderId="24" xfId="0" applyBorder="1" applyAlignment="1">
      <alignment horizontal="center"/>
    </xf>
    <xf numFmtId="0" fontId="0" fillId="0" borderId="10" xfId="0" applyBorder="1"/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12" xfId="0" applyNumberFormat="1" applyBorder="1" applyAlignment="1">
      <alignment horizontal="center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Процентный" xfId="1" builtinId="5"/>
    <cellStyle name="Связанная ячейка" xfId="13" builtinId="24" customBuiltin="1"/>
    <cellStyle name="Текст предупреждения" xfId="15" builtinId="11" customBuiltin="1"/>
    <cellStyle name="Хороший" xfId="7" builtinId="26" customBuiltin="1"/>
  </cellStyles>
  <dxfs count="2"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1DA3-A2B1-4022-BF8C-C57159F3F5AA}">
  <dimension ref="K4:P13"/>
  <sheetViews>
    <sheetView tabSelected="1" workbookViewId="0">
      <selection activeCell="M20" sqref="M20:N20"/>
    </sheetView>
  </sheetViews>
  <sheetFormatPr defaultRowHeight="15" x14ac:dyDescent="0.25"/>
  <cols>
    <col min="11" max="11" width="3.140625" bestFit="1" customWidth="1"/>
    <col min="12" max="12" width="28" bestFit="1" customWidth="1"/>
    <col min="13" max="13" width="10.28515625" bestFit="1" customWidth="1"/>
    <col min="14" max="14" width="9" bestFit="1" customWidth="1"/>
    <col min="15" max="15" width="12.42578125" bestFit="1" customWidth="1"/>
    <col min="16" max="16" width="12.28515625" bestFit="1" customWidth="1"/>
  </cols>
  <sheetData>
    <row r="4" spans="11:16" ht="15.75" thickBot="1" x14ac:dyDescent="0.3"/>
    <row r="5" spans="11:16" ht="15.75" thickBot="1" x14ac:dyDescent="0.3">
      <c r="K5" s="1" t="s">
        <v>0</v>
      </c>
      <c r="L5" s="2" t="s">
        <v>1</v>
      </c>
      <c r="M5" s="18" t="s">
        <v>2</v>
      </c>
      <c r="N5" s="1" t="s">
        <v>3</v>
      </c>
      <c r="O5" s="3" t="s">
        <v>4</v>
      </c>
      <c r="P5" s="1" t="s">
        <v>5</v>
      </c>
    </row>
    <row r="6" spans="11:16" ht="15.75" thickBot="1" x14ac:dyDescent="0.3">
      <c r="K6" s="1">
        <v>1</v>
      </c>
      <c r="L6" s="2" t="s">
        <v>6</v>
      </c>
      <c r="M6" s="11">
        <v>4.5999999999999999E-2</v>
      </c>
      <c r="N6" s="14">
        <v>72</v>
      </c>
      <c r="O6" s="4">
        <f>74</f>
        <v>74</v>
      </c>
      <c r="P6" s="5">
        <f t="shared" ref="P6:P13" si="0">N6/O6-100%</f>
        <v>-2.7027027027026973E-2</v>
      </c>
    </row>
    <row r="7" spans="11:16" ht="15.75" thickBot="1" x14ac:dyDescent="0.3">
      <c r="K7" s="1">
        <v>2</v>
      </c>
      <c r="L7" s="2" t="s">
        <v>7</v>
      </c>
      <c r="M7" s="17">
        <v>9.1999999999999998E-2</v>
      </c>
      <c r="N7" s="12">
        <v>408</v>
      </c>
      <c r="O7" s="6">
        <f>422</f>
        <v>422</v>
      </c>
      <c r="P7" s="5">
        <f t="shared" si="0"/>
        <v>-3.3175355450236976E-2</v>
      </c>
    </row>
    <row r="8" spans="11:16" ht="15.75" thickBot="1" x14ac:dyDescent="0.3">
      <c r="K8" s="7">
        <v>3</v>
      </c>
      <c r="L8" s="2" t="s">
        <v>8</v>
      </c>
      <c r="M8" s="17">
        <v>5.3999999999999999E-2</v>
      </c>
      <c r="N8" s="12">
        <v>315</v>
      </c>
      <c r="O8" s="6">
        <f>326</f>
        <v>326</v>
      </c>
      <c r="P8" s="5">
        <f t="shared" si="0"/>
        <v>-3.3742331288343586E-2</v>
      </c>
    </row>
    <row r="9" spans="11:16" ht="15.75" thickBot="1" x14ac:dyDescent="0.3">
      <c r="K9" s="1">
        <v>4</v>
      </c>
      <c r="L9" s="2" t="s">
        <v>9</v>
      </c>
      <c r="M9" s="17">
        <v>3.4000000000000002E-2</v>
      </c>
      <c r="N9" s="12">
        <v>273</v>
      </c>
      <c r="O9" s="6">
        <f>251</f>
        <v>251</v>
      </c>
      <c r="P9" s="5">
        <f t="shared" si="0"/>
        <v>8.7649402390438169E-2</v>
      </c>
    </row>
    <row r="10" spans="11:16" ht="15.75" thickBot="1" x14ac:dyDescent="0.3">
      <c r="K10" s="1">
        <v>5</v>
      </c>
      <c r="L10" s="2" t="s">
        <v>10</v>
      </c>
      <c r="M10" s="17">
        <v>3.4000000000000002E-2</v>
      </c>
      <c r="N10" s="12">
        <v>270</v>
      </c>
      <c r="O10" s="6">
        <f>282</f>
        <v>282</v>
      </c>
      <c r="P10" s="5">
        <f t="shared" si="0"/>
        <v>-4.2553191489361653E-2</v>
      </c>
    </row>
    <row r="11" spans="11:16" ht="15.75" thickBot="1" x14ac:dyDescent="0.3">
      <c r="K11" s="1">
        <v>6</v>
      </c>
      <c r="L11" s="2" t="s">
        <v>11</v>
      </c>
      <c r="M11" s="17">
        <v>0.108</v>
      </c>
      <c r="N11" s="12">
        <v>165</v>
      </c>
      <c r="O11" s="6">
        <f>159</f>
        <v>159</v>
      </c>
      <c r="P11" s="5">
        <f t="shared" si="0"/>
        <v>3.7735849056603765E-2</v>
      </c>
    </row>
    <row r="12" spans="11:16" ht="15.75" thickBot="1" x14ac:dyDescent="0.3">
      <c r="K12" s="1">
        <v>7</v>
      </c>
      <c r="L12" s="2" t="s">
        <v>12</v>
      </c>
      <c r="M12" s="15">
        <v>3.5000000000000003E-2</v>
      </c>
      <c r="N12" s="16">
        <v>186</v>
      </c>
      <c r="O12" s="8">
        <f>175</f>
        <v>175</v>
      </c>
      <c r="P12" s="5">
        <f t="shared" si="0"/>
        <v>6.2857142857142945E-2</v>
      </c>
    </row>
    <row r="13" spans="11:16" ht="15.75" thickBot="1" x14ac:dyDescent="0.3">
      <c r="K13" s="9"/>
      <c r="L13" s="10" t="s">
        <v>13</v>
      </c>
      <c r="M13" s="13"/>
      <c r="N13" s="1">
        <f>SUM(N6:N12)</f>
        <v>1689</v>
      </c>
      <c r="O13" s="19">
        <f>SUM(O6:O12)</f>
        <v>1689</v>
      </c>
      <c r="P13" s="5">
        <f t="shared" si="0"/>
        <v>0</v>
      </c>
    </row>
  </sheetData>
  <conditionalFormatting sqref="P6:P13">
    <cfRule type="cellIs" dxfId="1" priority="4" operator="between">
      <formula>-0.05</formula>
      <formula>0.05</formula>
    </cfRule>
  </conditionalFormatting>
  <conditionalFormatting sqref="P6:P13">
    <cfRule type="cellIs" dxfId="0" priority="3" operator="notBetween">
      <formula>-0.05</formula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4464606i</dc:creator>
  <cp:lastModifiedBy>4464606i</cp:lastModifiedBy>
  <dcterms:created xsi:type="dcterms:W3CDTF">2020-05-16T16:08:49Z</dcterms:created>
  <dcterms:modified xsi:type="dcterms:W3CDTF">2020-05-17T12:47:15Z</dcterms:modified>
</cp:coreProperties>
</file>