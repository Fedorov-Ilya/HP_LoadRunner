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4464606i\Desktop\"/>
    </mc:Choice>
  </mc:AlternateContent>
  <xr:revisionPtr revIDLastSave="0" documentId="13_ncr:1_{625B0647-C781-4567-8A3E-D2F502DCB000}" xr6:coauthVersionLast="37" xr6:coauthVersionMax="37" xr10:uidLastSave="{00000000-0000-0000-0000-000000000000}"/>
  <bookViews>
    <workbookView xWindow="0" yWindow="0" windowWidth="28800" windowHeight="1237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I8" i="1"/>
  <c r="J8" i="1" s="1"/>
  <c r="G8" i="1"/>
  <c r="I7" i="1"/>
  <c r="J7" i="1" s="1"/>
  <c r="G7" i="1"/>
  <c r="I6" i="1"/>
  <c r="J6" i="1" s="1"/>
  <c r="G6" i="1"/>
  <c r="I5" i="1"/>
  <c r="G5" i="1"/>
  <c r="I4" i="1"/>
  <c r="J4" i="1" s="1"/>
  <c r="G4" i="1"/>
  <c r="I3" i="1"/>
  <c r="J3" i="1" s="1"/>
  <c r="G3" i="1"/>
  <c r="I2" i="1"/>
  <c r="G2" i="1"/>
  <c r="J5" i="1" l="1"/>
  <c r="I9" i="1"/>
  <c r="J9" i="1" s="1"/>
  <c r="J2" i="1"/>
</calcChain>
</file>

<file path=xl/sharedStrings.xml><?xml version="1.0" encoding="utf-8"?>
<sst xmlns="http://schemas.openxmlformats.org/spreadsheetml/2006/main" count="15" uniqueCount="15">
  <si>
    <t>Номер сценария</t>
  </si>
  <si>
    <t>Итог</t>
  </si>
  <si>
    <r>
      <rPr>
        <sz val="11"/>
        <color theme="1"/>
        <rFont val="Tahoma"/>
        <family val="2"/>
        <charset val="204"/>
      </rPr>
      <t>I</t>
    </r>
    <r>
      <rPr>
        <sz val="11"/>
        <color theme="1"/>
        <rFont val="Calibri"/>
        <family val="2"/>
        <charset val="204"/>
        <scheme val="minor"/>
      </rPr>
      <t xml:space="preserve"> пром.</t>
    </r>
  </si>
  <si>
    <r>
      <rPr>
        <sz val="11"/>
        <color theme="1"/>
        <rFont val="Century"/>
        <family val="1"/>
        <charset val="204"/>
      </rPr>
      <t>I</t>
    </r>
    <r>
      <rPr>
        <sz val="11"/>
        <color theme="1"/>
        <rFont val="Calibri"/>
        <family val="2"/>
        <charset val="204"/>
        <scheme val="minor"/>
      </rPr>
      <t xml:space="preserve"> факт.</t>
    </r>
  </si>
  <si>
    <t>Вход в систему</t>
  </si>
  <si>
    <t>Заполнение полей для поиска билета</t>
  </si>
  <si>
    <t>Выбор рейса из найденных</t>
  </si>
  <si>
    <t>Оплата билета</t>
  </si>
  <si>
    <t>Просмотр квитанций</t>
  </si>
  <si>
    <t>Отмена бронирования билета</t>
  </si>
  <si>
    <t>Выход из системы</t>
  </si>
  <si>
    <t>Кол-во сценариев в час</t>
  </si>
  <si>
    <t>Пэйсинг</t>
  </si>
  <si>
    <t>VU</t>
  </si>
  <si>
    <t>% отклонения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</si>
</sst>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ahoma"/>
      <family val="2"/>
      <charset val="204"/>
    </font>
    <font>
      <sz val="11"/>
      <color theme="1"/>
      <name val="Century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5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45">
    <xf numFmtId="0" fontId="0" fillId="0" borderId="0" xfId="0"/>
    <xf numFmtId="10" fontId="0" fillId="6" borderId="1" xfId="0" applyNumberFormat="1" applyFill="1" applyBorder="1" applyAlignment="1">
      <alignment horizontal="center"/>
    </xf>
    <xf numFmtId="10" fontId="0" fillId="6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7" borderId="3" xfId="2" applyFill="1" applyBorder="1" applyAlignment="1">
      <alignment horizontal="center" vertical="center"/>
    </xf>
    <xf numFmtId="0" fontId="1" fillId="7" borderId="3" xfId="1" applyFill="1" applyBorder="1" applyAlignment="1">
      <alignment horizontal="center" vertical="center"/>
    </xf>
    <xf numFmtId="0" fontId="1" fillId="7" borderId="3" xfId="1" applyFill="1" applyBorder="1" applyAlignment="1">
      <alignment horizontal="left"/>
    </xf>
    <xf numFmtId="0" fontId="1" fillId="8" borderId="4" xfId="2" applyFill="1" applyBorder="1" applyAlignment="1">
      <alignment horizontal="center" vertical="center"/>
    </xf>
    <xf numFmtId="0" fontId="1" fillId="8" borderId="3" xfId="2" applyFill="1" applyBorder="1" applyAlignment="1">
      <alignment horizontal="center" vertical="center"/>
    </xf>
    <xf numFmtId="0" fontId="1" fillId="8" borderId="3" xfId="3" applyFill="1" applyBorder="1" applyAlignment="1">
      <alignment horizontal="center" vertical="center"/>
    </xf>
    <xf numFmtId="10" fontId="0" fillId="8" borderId="2" xfId="0" applyNumberFormat="1" applyFill="1" applyBorder="1" applyAlignment="1">
      <alignment horizontal="center"/>
    </xf>
    <xf numFmtId="0" fontId="0" fillId="7" borderId="3" xfId="4" applyFont="1" applyFill="1" applyBorder="1" applyAlignment="1">
      <alignment horizontal="center"/>
    </xf>
    <xf numFmtId="0" fontId="1" fillId="7" borderId="2" xfId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1" fillId="8" borderId="5" xfId="3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1" fillId="8" borderId="8" xfId="3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" fillId="7" borderId="4" xfId="4" applyFill="1" applyBorder="1" applyAlignment="1">
      <alignment horizontal="left" vertical="center" wrapText="1"/>
    </xf>
    <xf numFmtId="0" fontId="1" fillId="7" borderId="3" xfId="4" applyFill="1" applyBorder="1" applyAlignment="1">
      <alignment horizontal="left" vertical="center" wrapText="1"/>
    </xf>
    <xf numFmtId="0" fontId="1" fillId="7" borderId="3" xfId="4" applyFill="1" applyBorder="1" applyAlignment="1">
      <alignment horizontal="left"/>
    </xf>
    <xf numFmtId="0" fontId="1" fillId="7" borderId="6" xfId="4" applyFill="1" applyBorder="1" applyAlignment="1">
      <alignment horizontal="left" vertical="center" wrapText="1"/>
    </xf>
    <xf numFmtId="0" fontId="0" fillId="8" borderId="10" xfId="0" applyFill="1" applyBorder="1" applyAlignment="1">
      <alignment horizontal="center" vertical="center"/>
    </xf>
    <xf numFmtId="0" fontId="1" fillId="8" borderId="11" xfId="3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1" fillId="8" borderId="6" xfId="3" applyFill="1" applyBorder="1" applyAlignment="1">
      <alignment horizontal="center" vertical="center"/>
    </xf>
    <xf numFmtId="0" fontId="1" fillId="7" borderId="8" xfId="4" applyFill="1" applyBorder="1" applyAlignment="1">
      <alignment horizontal="left" vertical="center" wrapText="1"/>
    </xf>
    <xf numFmtId="0" fontId="0" fillId="8" borderId="13" xfId="0" applyFill="1" applyBorder="1" applyAlignment="1">
      <alignment horizontal="center" vertical="center"/>
    </xf>
    <xf numFmtId="0" fontId="1" fillId="8" borderId="14" xfId="3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1" fillId="8" borderId="17" xfId="3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1" fillId="8" borderId="20" xfId="3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7" borderId="2" xfId="4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" fontId="1" fillId="8" borderId="4" xfId="3" applyNumberFormat="1" applyFill="1" applyBorder="1" applyAlignment="1">
      <alignment horizontal="center"/>
    </xf>
    <xf numFmtId="1" fontId="1" fillId="8" borderId="3" xfId="3" applyNumberFormat="1" applyFill="1" applyBorder="1" applyAlignment="1">
      <alignment horizontal="center"/>
    </xf>
  </cellXfs>
  <cellStyles count="5">
    <cellStyle name="20% — акцент2" xfId="1" builtinId="34"/>
    <cellStyle name="20% — акцент3" xfId="3" builtinId="38"/>
    <cellStyle name="40% — акцент2" xfId="2" builtinId="35"/>
    <cellStyle name="40% — акцент3" xfId="4" builtinId="39"/>
    <cellStyle name="Обычный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N4" sqref="N4"/>
    </sheetView>
  </sheetViews>
  <sheetFormatPr defaultRowHeight="15" x14ac:dyDescent="0.25"/>
  <cols>
    <col min="1" max="1" width="16.28515625" customWidth="1"/>
    <col min="2" max="6" width="3" bestFit="1" customWidth="1"/>
    <col min="7" max="7" width="5.140625" bestFit="1" customWidth="1"/>
    <col min="8" max="8" width="7.7109375" bestFit="1" customWidth="1"/>
    <col min="9" max="9" width="12" bestFit="1" customWidth="1"/>
    <col min="10" max="10" width="14" bestFit="1" customWidth="1"/>
  </cols>
  <sheetData>
    <row r="1" spans="1:10" ht="15.75" thickBot="1" x14ac:dyDescent="0.3">
      <c r="A1" s="6" t="s">
        <v>0</v>
      </c>
      <c r="B1" s="12">
        <v>1</v>
      </c>
      <c r="C1" s="12">
        <v>2</v>
      </c>
      <c r="D1" s="5">
        <v>3</v>
      </c>
      <c r="E1" s="5">
        <v>4</v>
      </c>
      <c r="F1" s="5">
        <v>5</v>
      </c>
      <c r="G1" s="4" t="s">
        <v>1</v>
      </c>
      <c r="H1" s="11" t="s">
        <v>2</v>
      </c>
      <c r="I1" s="11" t="s">
        <v>3</v>
      </c>
      <c r="J1" s="40" t="s">
        <v>14</v>
      </c>
    </row>
    <row r="2" spans="1:10" ht="15.75" thickBot="1" x14ac:dyDescent="0.3">
      <c r="A2" s="18" t="s">
        <v>4</v>
      </c>
      <c r="B2" s="36">
        <v>1</v>
      </c>
      <c r="C2" s="37">
        <v>1</v>
      </c>
      <c r="D2" s="38">
        <v>1</v>
      </c>
      <c r="E2" s="37">
        <v>1</v>
      </c>
      <c r="F2" s="39">
        <v>1</v>
      </c>
      <c r="G2" s="7">
        <f t="shared" ref="G2:G8" si="0">SUM(B2*$B$9+C2*$C$9+D2*$D$9+E2*$E$9+F2*$F$9)</f>
        <v>5</v>
      </c>
      <c r="H2" s="41">
        <v>403</v>
      </c>
      <c r="I2" s="43">
        <f t="shared" ref="I2:I8" si="1">B2*3600/$B$10*$B$11+C2*3600/$C$10*$C$11+D2*3600/$D$10*$D$11+E2*3600/$E$10*$E$11+F2*3600/$F$10*$F$11</f>
        <v>403.8769935677152</v>
      </c>
      <c r="J2" s="1">
        <f>I2/H2</f>
        <v>1.0021761626990451</v>
      </c>
    </row>
    <row r="3" spans="1:10" ht="45.75" thickBot="1" x14ac:dyDescent="0.3">
      <c r="A3" s="19" t="s">
        <v>5</v>
      </c>
      <c r="B3" s="17"/>
      <c r="C3" s="14">
        <v>1</v>
      </c>
      <c r="D3" s="13"/>
      <c r="E3" s="14">
        <v>1</v>
      </c>
      <c r="F3" s="15">
        <v>1</v>
      </c>
      <c r="G3" s="8">
        <f t="shared" si="0"/>
        <v>3</v>
      </c>
      <c r="H3" s="42">
        <v>283</v>
      </c>
      <c r="I3" s="44">
        <f t="shared" si="1"/>
        <v>274.45589919816723</v>
      </c>
      <c r="J3" s="2">
        <f t="shared" ref="J3:J9" si="2">I3/H3</f>
        <v>0.96980883108893012</v>
      </c>
    </row>
    <row r="4" spans="1:10" ht="30.75" thickBot="1" x14ac:dyDescent="0.3">
      <c r="A4" s="18" t="s">
        <v>6</v>
      </c>
      <c r="B4" s="17"/>
      <c r="C4" s="14">
        <v>1</v>
      </c>
      <c r="D4" s="13"/>
      <c r="E4" s="14">
        <v>1</v>
      </c>
      <c r="F4" s="15">
        <v>1</v>
      </c>
      <c r="G4" s="7">
        <f t="shared" si="0"/>
        <v>3</v>
      </c>
      <c r="H4" s="41">
        <v>273</v>
      </c>
      <c r="I4" s="43">
        <f t="shared" si="1"/>
        <v>274.45589919816723</v>
      </c>
      <c r="J4" s="1">
        <f t="shared" si="2"/>
        <v>1.0053329640958506</v>
      </c>
    </row>
    <row r="5" spans="1:10" ht="15.75" thickBot="1" x14ac:dyDescent="0.3">
      <c r="A5" s="19" t="s">
        <v>7</v>
      </c>
      <c r="B5" s="17"/>
      <c r="C5" s="14">
        <v>1</v>
      </c>
      <c r="D5" s="13"/>
      <c r="E5" s="14"/>
      <c r="F5" s="15">
        <v>1</v>
      </c>
      <c r="G5" s="8">
        <f t="shared" si="0"/>
        <v>2</v>
      </c>
      <c r="H5" s="42">
        <v>183</v>
      </c>
      <c r="I5" s="44">
        <f t="shared" si="1"/>
        <v>185.56701030927837</v>
      </c>
      <c r="J5" s="2">
        <f t="shared" si="2"/>
        <v>1.014027378739226</v>
      </c>
    </row>
    <row r="6" spans="1:10" ht="30.75" thickBot="1" x14ac:dyDescent="0.3">
      <c r="A6" s="19" t="s">
        <v>8</v>
      </c>
      <c r="B6" s="17">
        <v>1</v>
      </c>
      <c r="C6" s="14">
        <v>1</v>
      </c>
      <c r="D6" s="13">
        <v>1</v>
      </c>
      <c r="E6" s="14"/>
      <c r="F6" s="15"/>
      <c r="G6" s="8">
        <f t="shared" si="0"/>
        <v>3</v>
      </c>
      <c r="H6" s="42">
        <v>165</v>
      </c>
      <c r="I6" s="44">
        <f t="shared" si="1"/>
        <v>166.53449643140365</v>
      </c>
      <c r="J6" s="2">
        <f t="shared" si="2"/>
        <v>1.0092999783721432</v>
      </c>
    </row>
    <row r="7" spans="1:10" ht="45.75" thickBot="1" x14ac:dyDescent="0.3">
      <c r="A7" s="18" t="s">
        <v>9</v>
      </c>
      <c r="B7" s="17">
        <v>1</v>
      </c>
      <c r="C7" s="14">
        <v>1</v>
      </c>
      <c r="D7" s="13"/>
      <c r="E7" s="14"/>
      <c r="F7" s="15"/>
      <c r="G7" s="7">
        <f t="shared" si="0"/>
        <v>2</v>
      </c>
      <c r="H7" s="41">
        <v>73</v>
      </c>
      <c r="I7" s="43">
        <f t="shared" si="1"/>
        <v>74.226804123711347</v>
      </c>
      <c r="J7" s="1">
        <f t="shared" si="2"/>
        <v>1.0168055359412513</v>
      </c>
    </row>
    <row r="8" spans="1:10" ht="30.75" thickBot="1" x14ac:dyDescent="0.3">
      <c r="A8" s="19" t="s">
        <v>10</v>
      </c>
      <c r="B8" s="17">
        <v>1</v>
      </c>
      <c r="C8" s="14">
        <v>1</v>
      </c>
      <c r="D8" s="13">
        <v>1</v>
      </c>
      <c r="E8" s="14"/>
      <c r="F8" s="15">
        <v>1</v>
      </c>
      <c r="G8" s="8">
        <f t="shared" si="0"/>
        <v>4</v>
      </c>
      <c r="H8" s="42">
        <v>315</v>
      </c>
      <c r="I8" s="44">
        <f t="shared" si="1"/>
        <v>314.98810467882635</v>
      </c>
      <c r="J8" s="10">
        <f t="shared" si="2"/>
        <v>0.99996223707563925</v>
      </c>
    </row>
    <row r="9" spans="1:10" ht="30.75" thickBot="1" x14ac:dyDescent="0.3">
      <c r="A9" s="21" t="s">
        <v>11</v>
      </c>
      <c r="B9" s="22">
        <v>1</v>
      </c>
      <c r="C9" s="23">
        <v>1</v>
      </c>
      <c r="D9" s="24">
        <v>1</v>
      </c>
      <c r="E9" s="23">
        <v>1</v>
      </c>
      <c r="F9" s="25">
        <v>1</v>
      </c>
      <c r="G9" s="26"/>
      <c r="H9" s="42">
        <v>1688</v>
      </c>
      <c r="I9" s="44">
        <f>SUM(I2:I8)</f>
        <v>1694.1052075072694</v>
      </c>
      <c r="J9" s="2">
        <f t="shared" si="2"/>
        <v>1.0036168290919842</v>
      </c>
    </row>
    <row r="10" spans="1:10" ht="15.75" thickBot="1" x14ac:dyDescent="0.3">
      <c r="A10" s="20" t="s">
        <v>12</v>
      </c>
      <c r="B10" s="32">
        <v>97</v>
      </c>
      <c r="C10" s="33">
        <v>97</v>
      </c>
      <c r="D10" s="34">
        <v>78</v>
      </c>
      <c r="E10" s="33">
        <v>81</v>
      </c>
      <c r="F10" s="35">
        <v>97</v>
      </c>
      <c r="G10" s="9"/>
      <c r="H10" s="3"/>
      <c r="I10" s="3"/>
      <c r="J10" s="3"/>
    </row>
    <row r="11" spans="1:10" ht="15.75" thickBot="1" x14ac:dyDescent="0.3">
      <c r="A11" s="27" t="s">
        <v>13</v>
      </c>
      <c r="B11" s="28">
        <v>1</v>
      </c>
      <c r="C11" s="29">
        <v>1</v>
      </c>
      <c r="D11" s="30">
        <v>2</v>
      </c>
      <c r="E11" s="29">
        <v>2</v>
      </c>
      <c r="F11" s="31">
        <v>4</v>
      </c>
      <c r="G11" s="16">
        <f>SUM(B11:F11)</f>
        <v>10</v>
      </c>
      <c r="H11" s="3"/>
      <c r="I11" s="3"/>
      <c r="J11" s="3"/>
    </row>
  </sheetData>
  <conditionalFormatting sqref="J2:J9">
    <cfRule type="cellIs" dxfId="0" priority="2" operator="between">
      <formula>0.95</formula>
      <formula>1.05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Родичев</dc:creator>
  <cp:lastModifiedBy>4464606i</cp:lastModifiedBy>
  <dcterms:created xsi:type="dcterms:W3CDTF">2020-05-17T20:57:38Z</dcterms:created>
  <dcterms:modified xsi:type="dcterms:W3CDTF">2020-05-25T10:39:18Z</dcterms:modified>
</cp:coreProperties>
</file>